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Calc_Model" sheetId="3" state="visible" r:id="rId3"/>
    <sheet xmlns:r="http://schemas.openxmlformats.org/officeDocument/2006/relationships" name="Repor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Assumptions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Order_ID</t>
        </is>
      </c>
      <c r="B1" s="1" t="inlineStr">
        <is>
          <t>Transaction_Amount</t>
        </is>
      </c>
      <c r="C1" s="1" t="inlineStr">
        <is>
          <t>Payment_Method</t>
        </is>
      </c>
      <c r="D1" s="1" t="inlineStr">
        <is>
          <t>Bank</t>
        </is>
      </c>
      <c r="E1" s="1" t="inlineStr">
        <is>
          <t>Gateway</t>
        </is>
      </c>
      <c r="F1" s="1" t="inlineStr">
        <is>
          <t>Student_Name</t>
        </is>
      </c>
      <c r="G1" s="1" t="inlineStr">
        <is>
          <t>Vendor_Amount</t>
        </is>
      </c>
      <c r="H1" s="1" t="inlineStr">
        <is>
          <t>Partner_Pricing_Type</t>
        </is>
      </c>
      <c r="I1" s="1" t="inlineStr">
        <is>
          <t>Partner_Pricing_Rate</t>
        </is>
      </c>
      <c r="J1" s="1" t="inlineStr">
        <is>
          <t>Merchant_Pricing_Type</t>
        </is>
      </c>
      <c r="K1" s="1" t="inlineStr">
        <is>
          <t>Merchant_Pricing_Rate</t>
        </is>
      </c>
      <c r="L1" s="1" t="inlineStr">
        <is>
          <t>Edviron_Buying_Type</t>
        </is>
      </c>
      <c r="M1" s="1" t="inlineStr">
        <is>
          <t>Edviron_Buying_Rate</t>
        </is>
      </c>
      <c r="N1" s="1" t="inlineStr">
        <is>
          <t>Status</t>
        </is>
      </c>
      <c r="O1" s="1" t="inlineStr">
        <is>
          <t>Capture_Status</t>
        </is>
      </c>
      <c r="P1" s="1" t="inlineStr">
        <is>
          <t>ERP_Commission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Order_ID</t>
        </is>
      </c>
      <c r="B1" s="1" t="inlineStr">
        <is>
          <t>Transaction_Amount</t>
        </is>
      </c>
      <c r="C1" s="1" t="inlineStr">
        <is>
          <t>Payment_Method</t>
        </is>
      </c>
      <c r="D1" s="1" t="inlineStr">
        <is>
          <t>Bank</t>
        </is>
      </c>
      <c r="E1" s="1" t="inlineStr">
        <is>
          <t>Gateway</t>
        </is>
      </c>
      <c r="F1" s="1" t="inlineStr">
        <is>
          <t>Student_Name</t>
        </is>
      </c>
      <c r="G1" s="1" t="inlineStr">
        <is>
          <t>Vendor_Amount</t>
        </is>
      </c>
      <c r="H1" s="1" t="inlineStr">
        <is>
          <t>Partner_Pricing_Type</t>
        </is>
      </c>
      <c r="I1" s="1" t="inlineStr">
        <is>
          <t>Partner_Pricing_Rate</t>
        </is>
      </c>
      <c r="J1" s="1" t="inlineStr">
        <is>
          <t>Merchant_Pricing_Type</t>
        </is>
      </c>
      <c r="K1" s="1" t="inlineStr">
        <is>
          <t>Merchant_Pricing_Rate</t>
        </is>
      </c>
      <c r="L1" s="1" t="inlineStr">
        <is>
          <t>Edviron_Buying_Type</t>
        </is>
      </c>
      <c r="M1" s="1" t="inlineStr">
        <is>
          <t>Edviron_Buying_Rate</t>
        </is>
      </c>
      <c r="N1" s="1" t="inlineStr">
        <is>
          <t>Status</t>
        </is>
      </c>
      <c r="O1" s="1" t="inlineStr">
        <is>
          <t>Capture_Status</t>
        </is>
      </c>
      <c r="P1" s="1" t="inlineStr">
        <is>
          <t>ERP_Commission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Order_ID</t>
        </is>
      </c>
      <c r="B1" s="1" t="inlineStr">
        <is>
          <t>Transaction_Amount</t>
        </is>
      </c>
      <c r="C1" s="1" t="inlineStr">
        <is>
          <t>Payment_Method</t>
        </is>
      </c>
      <c r="D1" s="1" t="inlineStr">
        <is>
          <t>Bank</t>
        </is>
      </c>
      <c r="E1" s="1" t="inlineStr">
        <is>
          <t>Gateway</t>
        </is>
      </c>
      <c r="F1" s="1" t="inlineStr">
        <is>
          <t>Student_Name</t>
        </is>
      </c>
      <c r="G1" s="1" t="inlineStr">
        <is>
          <t>Vendor_Amount</t>
        </is>
      </c>
      <c r="H1" s="1" t="inlineStr">
        <is>
          <t>Partner_Pricing_Type</t>
        </is>
      </c>
      <c r="I1" s="1" t="inlineStr">
        <is>
          <t>Partner_Pricing_Rate</t>
        </is>
      </c>
      <c r="J1" s="1" t="inlineStr">
        <is>
          <t>Merchant_Pricing_Type</t>
        </is>
      </c>
      <c r="K1" s="1" t="inlineStr">
        <is>
          <t>Merchant_Pricing_Rate</t>
        </is>
      </c>
      <c r="L1" s="1" t="inlineStr">
        <is>
          <t>Edviron_Buying_Type</t>
        </is>
      </c>
      <c r="M1" s="1" t="inlineStr">
        <is>
          <t>Edviron_Buying_Rate</t>
        </is>
      </c>
      <c r="N1" s="1" t="inlineStr">
        <is>
          <t>Status</t>
        </is>
      </c>
      <c r="O1" s="1" t="inlineStr">
        <is>
          <t>Capture_Status</t>
        </is>
      </c>
      <c r="P1" s="1" t="inlineStr">
        <is>
          <t>ERP_Commission</t>
        </is>
      </c>
      <c r="Q1" s="1" t="inlineStr">
        <is>
          <t>Partner_Pricing_INR</t>
        </is>
      </c>
      <c r="R1" s="1" t="inlineStr">
        <is>
          <t>Merchant_Pricing_INR</t>
        </is>
      </c>
      <c r="S1" s="1" t="inlineStr">
        <is>
          <t>Edviron_Buying_INR</t>
        </is>
      </c>
      <c r="T1" s="1" t="inlineStr">
        <is>
          <t>ERP_Revenue</t>
        </is>
      </c>
      <c r="U1" s="1" t="inlineStr">
        <is>
          <t>Edviron_Net_Revenue</t>
        </is>
      </c>
      <c r="V1" s="1" t="inlineStr">
        <is>
          <t>Edviron_Gross_Revenue</t>
        </is>
      </c>
      <c r="W1" s="1" t="inlineStr">
        <is>
          <t>ERP_Payable</t>
        </is>
      </c>
      <c r="X1" s="1" t="inlineStr">
        <is>
          <t>Edviron_Retained</t>
        </is>
      </c>
      <c r="Y1" s="1" t="inlineStr">
        <is>
          <t>Pending_Exposure</t>
        </is>
      </c>
      <c r="Z1" s="1" t="inlineStr">
        <is>
          <t>Exception_Flag</t>
        </is>
      </c>
    </row>
    <row r="2">
      <c r="Q2">
        <f>IF(H2="FLAT", I2, B2*I2/100)</f>
        <v/>
      </c>
      <c r="R2">
        <f>IF(J2="FLAT", K2, B2*K2/100)</f>
        <v/>
      </c>
      <c r="S2">
        <f>IF(L2="FLAT", M2, B2*M2/100)</f>
        <v/>
      </c>
      <c r="T2">
        <f>R2-Q2</f>
        <v/>
      </c>
      <c r="U2">
        <f>Q2-S2</f>
        <v/>
      </c>
      <c r="V2">
        <f>T2+U2</f>
        <v/>
      </c>
      <c r="W2">
        <f>IF(N2="SUCCESS", T2, 0)</f>
        <v/>
      </c>
      <c r="X2">
        <f>IF(N2="SUCCESS", U2, 0)</f>
        <v/>
      </c>
      <c r="Y2">
        <f>IF(N2="PENDING", B2, 0)</f>
        <v/>
      </c>
      <c r="Z2">
        <f>IF(OR(T2&lt;0,U2&lt;0),"NEGATIVE_MARGIN","OK")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Total Transactions</t>
        </is>
      </c>
    </row>
    <row r="2">
      <c r="A2" s="1" t="inlineStr">
        <is>
          <t>Total GMV</t>
        </is>
      </c>
    </row>
    <row r="3">
      <c r="A3" s="1" t="inlineStr">
        <is>
          <t>ERP Revenue</t>
        </is>
      </c>
    </row>
    <row r="4">
      <c r="A4" s="1" t="inlineStr">
        <is>
          <t>Edviron Net Revenue</t>
        </is>
      </c>
    </row>
    <row r="5">
      <c r="A5" s="1" t="inlineStr">
        <is>
          <t>Edviron Gross Revenue</t>
        </is>
      </c>
    </row>
    <row r="6">
      <c r="A6" s="1" t="inlineStr">
        <is>
          <t>Pending Exposure</t>
        </is>
      </c>
    </row>
    <row r="7">
      <c r="A7" s="1" t="inlineStr">
        <is>
          <t>Unique 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t="inlineStr">
        <is>
          <t>Revenue Logic:</t>
        </is>
      </c>
    </row>
    <row r="2">
      <c r="A2" t="inlineStr">
        <is>
          <t>ERP Revenue = Merchant Pricing - Partner Pricing</t>
        </is>
      </c>
    </row>
    <row r="3">
      <c r="A3" t="inlineStr">
        <is>
          <t>Edviron Net Revenue = Partner Pricing - Edviron Buying</t>
        </is>
      </c>
    </row>
    <row r="4">
      <c r="A4" t="inlineStr">
        <is>
          <t>Edviron Gross Revenue = ERP Revenue + Edviron Net Revenue</t>
        </is>
      </c>
    </row>
    <row r="5">
      <c r="A5" t="inlineStr"/>
    </row>
    <row r="6">
      <c r="A6" t="inlineStr">
        <is>
          <t>Pricing Conversion:</t>
        </is>
      </c>
    </row>
    <row r="7">
      <c r="A7" t="inlineStr">
        <is>
          <t>If FLAT → Use rate directly</t>
        </is>
      </c>
    </row>
    <row r="8">
      <c r="A8" t="inlineStr">
        <is>
          <t>If PERCENT → Transaction Amount × Rate ÷ 100</t>
        </is>
      </c>
    </row>
    <row r="9">
      <c r="A9" t="inlineStr"/>
    </row>
    <row r="10">
      <c r="A10" t="inlineStr">
        <is>
          <t>Settlement Logic:</t>
        </is>
      </c>
    </row>
    <row r="11">
      <c r="A11" t="inlineStr">
        <is>
          <t>SUCCESS → Settled</t>
        </is>
      </c>
    </row>
    <row r="12">
      <c r="A12" t="inlineStr">
        <is>
          <t>PENDING → Exposure</t>
        </is>
      </c>
    </row>
    <row r="13">
      <c r="A13" t="inlineStr"/>
    </row>
    <row r="14">
      <c r="A14" t="inlineStr">
        <is>
          <t>Exception Logic:</t>
        </is>
      </c>
    </row>
    <row r="15">
      <c r="A15" t="inlineStr">
        <is>
          <t>Negative margin transactions flagged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2026-03-02T04:07:31Z</dcterms:created>
  <dcterms:modified xmlns:dcterms="http://purl.org/dc/terms/" xmlns:xsi="http://www.w3.org/2001/XMLSchema-instance" xsi:type="dcterms:W3CDTF">2026-03-02T04:07:31Z</dcterms:modified>
</cp:coreProperties>
</file>